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2f08ac8c7c4c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三方法汇总" sheetId="1" r:id="R6a912c4d0ed744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%"/>
    <x:numFmt numFmtId="202" formatCode="0.000"/>
    <x:numFmt numFmtId="203" formatCode="0.00"/>
  </x:numFmts>
  <x:fonts count="9">
    <x:font>
      <x:sz val="11"/>
      <x:name val="Carlito"/>
    </x:font>
    <x:font>
      <x:sz val="11"/>
      <x:color rgb="FF26313A"/>
      <x:name val="Arial"/>
    </x:font>
    <x:font>
      <x:b/>
      <x:sz val="15"/>
      <x:color rgb="FF26313A"/>
      <x:name val="Arial"/>
    </x:font>
    <x:font>
      <x:sz val="11"/>
      <x:color rgb="FF5F6570"/>
      <x:name val="Arial"/>
    </x:font>
    <x:font>
      <x:b/>
      <x:sz val="11"/>
      <x:color rgb="FFFFFFFF"/>
      <x:name val="Arial"/>
    </x:font>
    <x:font>
      <x:b/>
      <x:sz val="11"/>
      <x:color rgb="FF5F6570"/>
      <x:name val="Arial"/>
    </x:font>
    <x:font>
      <x:b/>
      <x:sz val="11"/>
      <x:color rgb="FF345D7E"/>
      <x:name val="Arial"/>
    </x:font>
    <x:font>
      <x:b/>
      <x:sz val="11"/>
      <x:color rgb="FF986237"/>
      <x:name val="Arial"/>
    </x:font>
    <x:font>
      <x:sz val="10"/>
      <x:color rgb="FF5F657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D4A56"/>
      </x:patternFill>
    </x:fill>
    <x:fill>
      <x:patternFill patternType="solid">
        <x:fgColor rgb="FFF2F6F9"/>
      </x:patternFill>
    </x:fill>
  </x:fills>
  <x:borders count="3">
    <x:border/>
    <x:border>
      <x:bottom style="thin">
        <x:color rgb="FFB8C2CA"/>
      </x:bottom>
    </x:border>
    <x:border>
      <x:bottom style="thin">
        <x:color rgb="FFCFD7DE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 applyAlignment="1">
      <x:alignment horizontal="right"/>
    </x:xf>
    <x:xf numFmtId="201" fontId="1" fillId="3" borderId="0" xfId="0" applyNumberFormat="1" applyFont="1" applyFill="1" applyBorder="1" applyAlignment="1">
      <x:alignment horizontal="right"/>
    </x:xf>
    <x:xf numFmtId="202" fontId="1" fillId="3" borderId="0" xfId="0" applyNumberFormat="1" applyFont="1" applyFill="1" applyBorder="1" applyAlignment="1">
      <x:alignment horizontal="right"/>
    </x:xf>
    <x:xf numFmtId="203" fontId="1" fillId="3" borderId="0" xfId="0" applyNumberFormat="1" applyFont="1" applyFill="1" applyBorder="1" applyAlignment="1">
      <x:alignment horizontal="right"/>
    </x:xf>
    <x:xf numFmtId="0" fontId="6" fillId="3" borderId="0" xfId="0" applyNumberFormat="1" applyFont="1" applyFill="1" applyBorder="1"/>
    <x:xf numFmtId="0" fontId="7" fillId="0" borderId="0" xfId="0" applyNumberFormat="1" applyFont="1" applyFill="1" applyBorder="1"/>
    <x:xf numFmtId="0" fontId="5" fillId="0" borderId="2" xfId="0" applyNumberFormat="1" applyFont="1" applyFill="1" applyBorder="1"/>
    <x:xf numFmtId="200" fontId="1" fillId="0" borderId="2" xfId="0" applyNumberFormat="1" applyFont="1" applyFill="1" applyBorder="1" applyAlignment="1">
      <x:alignment horizontal="right"/>
    </x:xf>
    <x:xf numFmtId="201" fontId="1" fillId="0" borderId="2" xfId="0" applyNumberFormat="1" applyFont="1" applyFill="1" applyBorder="1" applyAlignment="1">
      <x:alignment horizontal="right"/>
    </x:xf>
    <x:xf numFmtId="202" fontId="1" fillId="0" borderId="2" xfId="0" applyNumberFormat="1" applyFont="1" applyFill="1" applyBorder="1" applyAlignment="1">
      <x:alignment horizontal="right"/>
    </x:xf>
    <x:xf numFmtId="203" fontId="1" fillId="0" borderId="2" xfId="0" applyNumberFormat="1" applyFont="1" applyFill="1" applyBorder="1" applyAlignment="1">
      <x:alignment horizontal="right"/>
    </x:xf>
    <x:xf numFmtId="0" fontId="6" fillId="3" borderId="2" xfId="0" applyNumberFormat="1" applyFont="1" applyFill="1" applyBorder="1"/>
    <x:xf numFmtId="200" fontId="1" fillId="3" borderId="2" xfId="0" applyNumberFormat="1" applyFont="1" applyFill="1" applyBorder="1" applyAlignment="1">
      <x:alignment horizontal="right"/>
    </x:xf>
    <x:xf numFmtId="201" fontId="1" fillId="3" borderId="2" xfId="0" applyNumberFormat="1" applyFont="1" applyFill="1" applyBorder="1" applyAlignment="1">
      <x:alignment horizontal="right"/>
    </x:xf>
    <x:xf numFmtId="202" fontId="1" fillId="3" borderId="2" xfId="0" applyNumberFormat="1" applyFont="1" applyFill="1" applyBorder="1" applyAlignment="1">
      <x:alignment horizontal="right"/>
    </x:xf>
    <x:xf numFmtId="203" fontId="1" fillId="3" borderId="2" xfId="0" applyNumberFormat="1" applyFont="1" applyFill="1" applyBorder="1" applyAlignment="1">
      <x:alignment horizontal="right"/>
    </x:xf>
    <x:xf numFmtId="0" fontId="7" fillId="0" borderId="2" xfId="0" applyNumberFormat="1" applyFont="1" applyFill="1" applyBorder="1"/>
    <x:xf numFmtId="0" fontId="8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148126824c4ecd" /><Relationship Type="http://schemas.openxmlformats.org/officeDocument/2006/relationships/theme" Target="/xl/theme/theme1.xml" Id="R3cb50891eb8b4ea5" /><Relationship Type="http://schemas.openxmlformats.org/officeDocument/2006/relationships/sharedStrings" Target="/xl/sharedStrings.xml" Id="R3a86971342974a86" /><Relationship Type="http://schemas.openxmlformats.org/officeDocument/2006/relationships/worksheet" Target="/xl/worksheets/sheet1.xml" Id="R6a912c4d0ed7446a" /></Relationships>
</file>

<file path=xl/tables/table1.xml><?xml version="1.0" encoding="utf-8"?>
<x:table xmlns:x="http://schemas.openxmlformats.org/spreadsheetml/2006/main" id="1" name="MethodSummary" displayName="MethodSummary" ref="A5:O20" headerRowCount="1" totalsRowCount="0" totalsRowShown="0">
  <x:autoFilter ref="A5:O20"/>
  <x:tableColumns count="15">
    <x:tableColumn id="1" name="方法"/>
    <x:tableColumn id="2" name="n"/>
    <x:tableColumn id="3" name="总组数"/>
    <x:tableColumn id="4" name="有效解"/>
    <x:tableColumn id="5" name="有解率"/>
    <x:tableColumn id="6" name="β Bias"/>
    <x:tableColumn id="7" name="β SD"/>
    <x:tableColumn id="8" name="β RMSE"/>
    <x:tableColumn id="9" name="η Bias"/>
    <x:tableColumn id="10" name="η SD"/>
    <x:tableColumn id="11" name="η RMSE"/>
    <x:tableColumn id="12" name="γ Bias"/>
    <x:tableColumn id="13" name="γ SD"/>
    <x:tableColumn id="14" name="γ RMSE"/>
    <x:tableColumn id="15" name="联合 RM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5639f3f87348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80000114440918" hidden="0" customWidth="1"/>
    <x:col min="2" max="2" width="6.25" hidden="0" customWidth="1"/>
    <x:col min="3" max="3" width="8.75" hidden="0" customWidth="1"/>
    <x:col min="4" max="4" width="8.75" hidden="0" customWidth="1"/>
    <x:col min="5" max="5" width="10.880000114440918" hidden="0" customWidth="1"/>
    <x:col min="6" max="6" width="10.630000114440918" hidden="0" customWidth="1"/>
    <x:col min="7" max="7" width="10.630000114440918" hidden="0" customWidth="1"/>
    <x:col min="8" max="8" width="10.630000114440918" hidden="0" customWidth="1"/>
    <x:col min="9" max="9" width="11.380000114440918" hidden="0" customWidth="1"/>
    <x:col min="10" max="10" width="11.380000114440918" hidden="0" customWidth="1"/>
    <x:col min="11" max="11" width="11.380000114440918" hidden="0" customWidth="1"/>
    <x:col min="12" max="12" width="11.380000114440918" hidden="0" customWidth="1"/>
    <x:col min="13" max="13" width="11.380000114440918" hidden="0" customWidth="1"/>
    <x:col min="14" max="14" width="11.380000114440918" hidden="0" customWidth="1"/>
    <x:col min="15" max="15" width="12.630000114440918" hidden="0" customWidth="1"/>
  </x:cols>
  <x:sheetData>
    <x:row r="1">
      <x:c r="A1" s="2" t="str">
        <x:v>MLE、MMLE、WMLE 参数估计汇总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3" t="str">
        <x:v>真值 β = 2，η = 1000，γ = 1000；每个 n 使用同一批 1200 组样本。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8" t="str">
        <x:v>方法</x:v>
      </x:c>
      <x:c r="B5" s="8" t="str">
        <x:v>n</x:v>
      </x:c>
      <x:c r="C5" s="8" t="str">
        <x:v>总组数</x:v>
      </x:c>
      <x:c r="D5" s="8" t="str">
        <x:v>有效解</x:v>
      </x:c>
      <x:c r="E5" s="8" t="str">
        <x:v>有解率</x:v>
      </x:c>
      <x:c r="F5" s="8" t="str">
        <x:v>β Bias</x:v>
      </x:c>
      <x:c r="G5" s="8" t="str">
        <x:v>β SD</x:v>
      </x:c>
      <x:c r="H5" s="8" t="str">
        <x:v>β RMSE</x:v>
      </x:c>
      <x:c r="I5" s="8" t="str">
        <x:v>η Bias</x:v>
      </x:c>
      <x:c r="J5" s="8" t="str">
        <x:v>η SD</x:v>
      </x:c>
      <x:c r="K5" s="8" t="str">
        <x:v>η RMSE</x:v>
      </x:c>
      <x:c r="L5" s="8" t="str">
        <x:v>γ Bias</x:v>
      </x:c>
      <x:c r="M5" s="8" t="str">
        <x:v>γ SD</x:v>
      </x:c>
      <x:c r="N5" s="8" t="str">
        <x:v>γ RMSE</x:v>
      </x:c>
      <x:c r="O5" s="8" t="str">
        <x:v>联合 RMSE</x:v>
      </x:c>
    </x:row>
    <x:row r="6" ht="26" customHeight="1">
      <x:c r="A6" s="14" t="str">
        <x:v>MLE</x:v>
      </x:c>
      <x:c r="B6" s="10" t="n">
        <x:v>7</x:v>
      </x:c>
      <x:c r="C6" s="10" t="n">
        <x:v>1200</x:v>
      </x:c>
      <x:c r="D6" s="10" t="n">
        <x:v>377</x:v>
      </x:c>
      <x:c r="E6" s="11" t="n">
        <x:f>D6/C6</x:f>
        <x:v>0.31416666666666665</x:v>
      </x:c>
      <x:c r="F6" s="12" t="n">
        <x:v>1.1958539170752747</x:v>
      </x:c>
      <x:c r="G6" s="12" t="n">
        <x:v>2.256673094931176</x:v>
      </x:c>
      <x:c r="H6" s="12" t="n">
        <x:v>2.5539459760086016</x:v>
      </x:c>
      <x:c r="I6" s="13" t="n">
        <x:v>204.843093475808</x:v>
      </x:c>
      <x:c r="J6" s="13" t="n">
        <x:v>782.4186810490972</x:v>
      </x:c>
      <x:c r="K6" s="13" t="n">
        <x:v>808.7890240349133</x:v>
      </x:c>
      <x:c r="L6" s="13" t="n">
        <x:v>-188.4008800195211</x:v>
      </x:c>
      <x:c r="M6" s="13" t="n">
        <x:v>715.7928367414866</x:v>
      </x:c>
      <x:c r="N6" s="13" t="n">
        <x:v>740.1717886562244</x:v>
      </x:c>
      <x:c r="O6" s="13" t="n">
        <x:f>SQRT(H6^2+K6^2+N6^2)</x:f>
        <x:v>1096.3578269716281</x:v>
      </x:c>
    </x:row>
    <x:row r="7" ht="26" customHeight="1">
      <x:c r="A7" s="14" t="str">
        <x:v>MLE</x:v>
      </x:c>
      <x:c r="B7" s="10" t="n">
        <x:v>10</x:v>
      </x:c>
      <x:c r="C7" s="10" t="n">
        <x:v>1200</x:v>
      </x:c>
      <x:c r="D7" s="10" t="n">
        <x:v>645</x:v>
      </x:c>
      <x:c r="E7" s="11" t="n">
        <x:f>D7/C7</x:f>
        <x:v>0.5375</x:v>
      </x:c>
      <x:c r="F7" s="12" t="n">
        <x:v>0.5750909778847937</x:v>
      </x:c>
      <x:c r="G7" s="12" t="n">
        <x:v>1.7910395856745</x:v>
      </x:c>
      <x:c r="H7" s="12" t="n">
        <x:v>1.8811040455800347</x:v>
      </x:c>
      <x:c r="I7" s="13" t="n">
        <x:v>42.85787832875947</x:v>
      </x:c>
      <x:c r="J7" s="13" t="n">
        <x:v>568.8579624607937</x:v>
      </x:c>
      <x:c r="K7" s="13" t="n">
        <x:v>570.4701387363658</x:v>
      </x:c>
      <x:c r="L7" s="13" t="n">
        <x:v>-53.084117675921405</x:v>
      </x:c>
      <x:c r="M7" s="13" t="n">
        <x:v>513.8866706057604</x:v>
      </x:c>
      <x:c r="N7" s="13" t="n">
        <x:v>516.6211704679787</x:v>
      </x:c>
      <x:c r="O7" s="13" t="n">
        <x:f>SQRT(H7^2+K7^2+N7^2)</x:f>
        <x:v>769.6344271912627</x:v>
      </x:c>
    </x:row>
    <x:row r="8" ht="26" customHeight="1">
      <x:c r="A8" s="14" t="str">
        <x:v>MLE</x:v>
      </x:c>
      <x:c r="B8" s="10" t="n">
        <x:v>15</x:v>
      </x:c>
      <x:c r="C8" s="10" t="n">
        <x:v>1200</x:v>
      </x:c>
      <x:c r="D8" s="10" t="n">
        <x:v>934</x:v>
      </x:c>
      <x:c r="E8" s="11" t="n">
        <x:f>D8/C8</x:f>
        <x:v>0.7783333333333333</x:v>
      </x:c>
      <x:c r="F8" s="12" t="n">
        <x:v>0.22274715610830703</x:v>
      </x:c>
      <x:c r="G8" s="12" t="n">
        <x:v>1.2769397073917674</x:v>
      </x:c>
      <x:c r="H8" s="12" t="n">
        <x:v>1.2962219377360154</x:v>
      </x:c>
      <x:c r="I8" s="13" t="n">
        <x:v>-21.495669401991883</x:v>
      </x:c>
      <x:c r="J8" s="13" t="n">
        <x:v>433.5670884418706</x:v>
      </x:c>
      <x:c r="K8" s="13" t="n">
        <x:v>434.09962449073896</x:v>
      </x:c>
      <x:c r="L8" s="13" t="n">
        <x:v>8.386919526603128</x:v>
      </x:c>
      <x:c r="M8" s="13" t="n">
        <x:v>380.56383344864076</x:v>
      </x:c>
      <x:c r="N8" s="13" t="n">
        <x:v>380.6562382889193</x:v>
      </x:c>
      <x:c r="O8" s="13" t="n">
        <x:f>SQRT(H8^2+K8^2+N8^2)</x:f>
        <x:v>577.358931621035</x:v>
      </x:c>
    </x:row>
    <x:row r="9" ht="26" customHeight="1">
      <x:c r="A9" s="14" t="str">
        <x:v>MLE</x:v>
      </x:c>
      <x:c r="B9" s="10" t="n">
        <x:v>20</x:v>
      </x:c>
      <x:c r="C9" s="10" t="n">
        <x:v>1200</x:v>
      </x:c>
      <x:c r="D9" s="10" t="n">
        <x:v>1071</x:v>
      </x:c>
      <x:c r="E9" s="11" t="n">
        <x:f>D9/C9</x:f>
        <x:v>0.8925</x:v>
      </x:c>
      <x:c r="F9" s="12" t="n">
        <x:v>0.1146977926851898</x:v>
      </x:c>
      <x:c r="G9" s="12" t="n">
        <x:v>1.127414334876496</x:v>
      </x:c>
      <x:c r="H9" s="12" t="n">
        <x:v>1.133233720876619</x:v>
      </x:c>
      <x:c r="I9" s="13" t="n">
        <x:v>-32.99271505905966</x:v>
      </x:c>
      <x:c r="J9" s="13" t="n">
        <x:v>373.71815875572184</x:v>
      </x:c>
      <x:c r="K9" s="13" t="n">
        <x:v>375.17166928052444</x:v>
      </x:c>
      <x:c r="L9" s="13" t="n">
        <x:v>12.962976690352875</x:v>
      </x:c>
      <x:c r="M9" s="13" t="n">
        <x:v>329.1073722563784</x:v>
      </x:c>
      <x:c r="N9" s="13" t="n">
        <x:v>329.3625680586261</x:v>
      </x:c>
      <x:c r="O9" s="13" t="n">
        <x:f>SQRT(H9^2+K9^2+N9^2)</x:f>
        <x:v>499.23418040792683</x:v>
      </x:c>
    </x:row>
    <x:row r="10" ht="26" customHeight="1">
      <x:c r="A10" s="22" t="str">
        <x:v>MLE</x:v>
      </x:c>
      <x:c r="B10" s="23" t="n">
        <x:v>50</x:v>
      </x:c>
      <x:c r="C10" s="23" t="n">
        <x:v>1200</x:v>
      </x:c>
      <x:c r="D10" s="23" t="n">
        <x:v>1199</x:v>
      </x:c>
      <x:c r="E10" s="24" t="n">
        <x:f>D10/C10</x:f>
        <x:v>0.9991666666666666</x:v>
      </x:c>
      <x:c r="F10" s="25" t="n">
        <x:v>-0.05081885676509731</x:v>
      </x:c>
      <x:c r="G10" s="25" t="n">
        <x:v>0.4478635400954625</x:v>
      </x:c>
      <x:c r="H10" s="25" t="n">
        <x:v>0.4507375142472073</x:v>
      </x:c>
      <x:c r="I10" s="26" t="n">
        <x:v>-50.53518519674003</x:v>
      </x:c>
      <x:c r="J10" s="26" t="n">
        <x:v>158.78460485514643</x:v>
      </x:c>
      <x:c r="K10" s="26" t="n">
        <x:v>166.6323968556949</x:v>
      </x:c>
      <x:c r="L10" s="26" t="n">
        <x:v>38.048042299812636</x:v>
      </x:c>
      <x:c r="M10" s="26" t="n">
        <x:v>122.07248449674121</x:v>
      </x:c>
      <x:c r="N10" s="26" t="n">
        <x:v>127.86455722386658</x:v>
      </x:c>
      <x:c r="O10" s="26" t="n">
        <x:f>SQRT(H10^2+K10^2+N10^2)</x:f>
        <x:v>210.03786287294966</x:v>
      </x:c>
    </x:row>
    <x:row r="11" ht="26" customHeight="1">
      <x:c r="A11" s="20" t="str">
        <x:v>MMLE</x:v>
      </x:c>
      <x:c r="B11" s="16" t="n">
        <x:v>7</x:v>
      </x:c>
      <x:c r="C11" s="16" t="n">
        <x:v>1200</x:v>
      </x:c>
      <x:c r="D11" s="16" t="n">
        <x:v>1200</x:v>
      </x:c>
      <x:c r="E11" s="17" t="n">
        <x:f>D11/C11</x:f>
        <x:v>1</x:v>
      </x:c>
      <x:c r="F11" s="18" t="n">
        <x:v>-0.05635357963533003</x:v>
      </x:c>
      <x:c r="G11" s="18" t="n">
        <x:v>0.9014710868850896</x:v>
      </x:c>
      <x:c r="H11" s="18" t="n">
        <x:v>0.9032307824844659</x:v>
      </x:c>
      <x:c r="I11" s="19" t="n">
        <x:v>-291.0233529303557</x:v>
      </x:c>
      <x:c r="J11" s="19" t="n">
        <x:v>228.15011664518443</x:v>
      </x:c>
      <x:c r="K11" s="19" t="n">
        <x:v>369.79327694813173</x:v>
      </x:c>
      <x:c r="L11" s="19" t="n">
        <x:v>335.82987920884335</x:v>
      </x:c>
      <x:c r="M11" s="19" t="n">
        <x:v>174.30959831242964</x:v>
      </x:c>
      <x:c r="N11" s="19" t="n">
        <x:v>378.37222920461124</x:v>
      </x:c>
      <x:c r="O11" s="19" t="n">
        <x:f>SQRT(H11^2+K11^2+N11^2)</x:f>
        <x:v>529.0684524096583</x:v>
      </x:c>
    </x:row>
    <x:row r="12" ht="26" customHeight="1">
      <x:c r="A12" s="20" t="str">
        <x:v>MMLE</x:v>
      </x:c>
      <x:c r="B12" s="16" t="n">
        <x:v>10</x:v>
      </x:c>
      <x:c r="C12" s="16" t="n">
        <x:v>1200</x:v>
      </x:c>
      <x:c r="D12" s="16" t="n">
        <x:v>1200</x:v>
      </x:c>
      <x:c r="E12" s="17" t="n">
        <x:f>D12/C12</x:f>
        <x:v>1</x:v>
      </x:c>
      <x:c r="F12" s="18" t="n">
        <x:v>-0.18509539594241797</x:v>
      </x:c>
      <x:c r="G12" s="18" t="n">
        <x:v>0.6531298782900858</x:v>
      </x:c>
      <x:c r="H12" s="18" t="n">
        <x:v>0.6788511939403972</x:v>
      </x:c>
      <x:c r="I12" s="19" t="n">
        <x:v>-258.82395159431775</x:v>
      </x:c>
      <x:c r="J12" s="19" t="n">
        <x:v>199.99302738676334</x:v>
      </x:c>
      <x:c r="K12" s="19" t="n">
        <x:v>327.08874777683866</x:v>
      </x:c>
      <x:c r="L12" s="19" t="n">
        <x:v>282.16407414304575</x:v>
      </x:c>
      <x:c r="M12" s="19" t="n">
        <x:v>148.43023388911706</x:v>
      </x:c>
      <x:c r="N12" s="19" t="n">
        <x:v>318.82299018323664</x:v>
      </x:c>
      <x:c r="O12" s="19" t="n">
        <x:f>SQRT(H12^2+K12^2+N12^2)</x:f>
        <x:v>456.76647078189103</x:v>
      </x:c>
    </x:row>
    <x:row r="13" ht="26" customHeight="1">
      <x:c r="A13" s="20" t="str">
        <x:v>MMLE</x:v>
      </x:c>
      <x:c r="B13" s="16" t="n">
        <x:v>15</x:v>
      </x:c>
      <x:c r="C13" s="16" t="n">
        <x:v>1200</x:v>
      </x:c>
      <x:c r="D13" s="16" t="n">
        <x:v>1200</x:v>
      </x:c>
      <x:c r="E13" s="17" t="n">
        <x:f>D13/C13</x:f>
        <x:v>1</x:v>
      </x:c>
      <x:c r="F13" s="18" t="n">
        <x:v>-0.22710947087089792</x:v>
      </x:c>
      <x:c r="G13" s="18" t="n">
        <x:v>0.4754263789464505</x:v>
      </x:c>
      <x:c r="H13" s="18" t="n">
        <x:v>0.5268860916340393</x:v>
      </x:c>
      <x:c r="I13" s="19" t="n">
        <x:v>-219.00153071381675</x:v>
      </x:c>
      <x:c r="J13" s="19" t="n">
        <x:v>166.37382132375922</x:v>
      </x:c>
      <x:c r="K13" s="19" t="n">
        <x:v>275.03075987399114</x:v>
      </x:c>
      <x:c r="L13" s="19" t="n">
        <x:v>230.50383549117726</x:v>
      </x:c>
      <x:c r="M13" s="19" t="n">
        <x:v>119.24741752576158</x:v>
      </x:c>
      <x:c r="N13" s="19" t="n">
        <x:v>259.5225708155401</x:v>
      </x:c>
      <x:c r="O13" s="19" t="n">
        <x:f>SQRT(H13^2+K13^2+N13^2)</x:f>
        <x:v>378.14568786186834</x:v>
      </x:c>
    </x:row>
    <x:row r="14" ht="26" customHeight="1">
      <x:c r="A14" s="20" t="str">
        <x:v>MMLE</x:v>
      </x:c>
      <x:c r="B14" s="16" t="n">
        <x:v>20</x:v>
      </x:c>
      <x:c r="C14" s="16" t="n">
        <x:v>1200</x:v>
      </x:c>
      <x:c r="D14" s="16" t="n">
        <x:v>1200</x:v>
      </x:c>
      <x:c r="E14" s="17" t="n">
        <x:f>D14/C14</x:f>
        <x:v>1</x:v>
      </x:c>
      <x:c r="F14" s="18" t="n">
        <x:v>-0.2426223792033287</x:v>
      </x:c>
      <x:c r="G14" s="18" t="n">
        <x:v>0.410579856690495</x:v>
      </x:c>
      <x:c r="H14" s="18" t="n">
        <x:v>0.4769082066920963</x:v>
      </x:c>
      <x:c r="I14" s="19" t="n">
        <x:v>-188.89819641794256</x:v>
      </x:c>
      <x:c r="J14" s="19" t="n">
        <x:v>142.12316986272268</x:v>
      </x:c>
      <x:c r="K14" s="19" t="n">
        <x:v>236.39273259087287</x:v>
      </x:c>
      <x:c r="L14" s="19" t="n">
        <x:v>191.1769077475477</x:v>
      </x:c>
      <x:c r="M14" s="19" t="n">
        <x:v>103.61920170528025</x:v>
      </x:c>
      <x:c r="N14" s="19" t="n">
        <x:v>217.45240632826741</x:v>
      </x:c>
      <x:c r="O14" s="19" t="n">
        <x:f>SQRT(H14^2+K14^2+N14^2)</x:f>
        <x:v>321.1966694739711</x:v>
      </x:c>
    </x:row>
    <x:row r="15" ht="26" customHeight="1">
      <x:c r="A15" s="27" t="str">
        <x:v>MMLE</x:v>
      </x:c>
      <x:c r="B15" s="28" t="n">
        <x:v>50</x:v>
      </x:c>
      <x:c r="C15" s="28" t="n">
        <x:v>1200</x:v>
      </x:c>
      <x:c r="D15" s="28" t="n">
        <x:v>1200</x:v>
      </x:c>
      <x:c r="E15" s="29" t="n">
        <x:f>D15/C15</x:f>
        <x:v>1</x:v>
      </x:c>
      <x:c r="F15" s="30" t="n">
        <x:v>-0.23191626564057713</x:v>
      </x:c>
      <x:c r="G15" s="30" t="n">
        <x:v>0.24907846085348032</x:v>
      </x:c>
      <x:c r="H15" s="30" t="n">
        <x:v>0.3403310651847836</x:v>
      </x:c>
      <x:c r="I15" s="31" t="n">
        <x:v>-134.37410387451737</x:v>
      </x:c>
      <x:c r="J15" s="31" t="n">
        <x:v>96.64776395813902</x:v>
      </x:c>
      <x:c r="K15" s="31" t="n">
        <x:v>165.52096565144774</x:v>
      </x:c>
      <x:c r="L15" s="31" t="n">
        <x:v>125.98182190136475</x:v>
      </x:c>
      <x:c r="M15" s="31" t="n">
        <x:v>65.46110165572608</x:v>
      </x:c>
      <x:c r="N15" s="31" t="n">
        <x:v>141.97385421114865</x:v>
      </x:c>
      <x:c r="O15" s="31" t="n">
        <x:f>SQRT(H15^2+K15^2+N15^2)</x:f>
        <x:v>218.06852403542828</x:v>
      </x:c>
    </x:row>
    <x:row r="16" ht="26" customHeight="1">
      <x:c r="A16" s="21" t="str">
        <x:v>WMLE</x:v>
      </x:c>
      <x:c r="B16" s="10" t="n">
        <x:v>7</x:v>
      </x:c>
      <x:c r="C16" s="10" t="n">
        <x:v>1200</x:v>
      </x:c>
      <x:c r="D16" s="10" t="n">
        <x:v>1200</x:v>
      </x:c>
      <x:c r="E16" s="11" t="n">
        <x:f>D16/C16</x:f>
        <x:v>1</x:v>
      </x:c>
      <x:c r="F16" s="12" t="n">
        <x:v>-0.3740549090305515</x:v>
      </x:c>
      <x:c r="G16" s="12" t="n">
        <x:v>0.9034851720504081</x:v>
      </x:c>
      <x:c r="H16" s="12" t="n">
        <x:v>0.9778560891485054</x:v>
      </x:c>
      <x:c r="I16" s="13" t="n">
        <x:v>-222.2327468344414</x:v>
      </x:c>
      <x:c r="J16" s="13" t="n">
        <x:v>349.356442467725</x:v>
      </x:c>
      <x:c r="K16" s="13" t="n">
        <x:v>414.04989754773004</x:v>
      </x:c>
      <x:c r="L16" s="13" t="n">
        <x:v>172.3402255067716</x:v>
      </x:c>
      <x:c r="M16" s="13" t="n">
        <x:v>282.43495350122123</x:v>
      </x:c>
      <x:c r="N16" s="13" t="n">
        <x:v>330.86350098939874</x:v>
      </x:c>
      <x:c r="O16" s="13" t="n">
        <x:f>SQRT(H16^2+K16^2+N16^2)</x:f>
        <x:v>530.0084246017027</x:v>
      </x:c>
    </x:row>
    <x:row r="17" ht="26" customHeight="1">
      <x:c r="A17" s="21" t="str">
        <x:v>WMLE</x:v>
      </x:c>
      <x:c r="B17" s="10" t="n">
        <x:v>10</x:v>
      </x:c>
      <x:c r="C17" s="10" t="n">
        <x:v>1200</x:v>
      </x:c>
      <x:c r="D17" s="10" t="n">
        <x:v>1200</x:v>
      </x:c>
      <x:c r="E17" s="11" t="n">
        <x:f>D17/C17</x:f>
        <x:v>1</x:v>
      </x:c>
      <x:c r="F17" s="12" t="n">
        <x:v>-0.214321087193687</x:v>
      </x:c>
      <x:c r="G17" s="12" t="n">
        <x:v>0.8698063835150517</x:v>
      </x:c>
      <x:c r="H17" s="12" t="n">
        <x:v>0.8958217865286695</x:v>
      </x:c>
      <x:c r="I17" s="13" t="n">
        <x:v>-151.82263335544465</x:v>
      </x:c>
      <x:c r="J17" s="13" t="n">
        <x:v>319.6640322355472</x:v>
      </x:c>
      <x:c r="K17" s="13" t="n">
        <x:v>353.8858650809195</x:v>
      </x:c>
      <x:c r="L17" s="13" t="n">
        <x:v>115.28510738225954</x:v>
      </x:c>
      <x:c r="M17" s="13" t="n">
        <x:v>254.0025553406131</x:v>
      </x:c>
      <x:c r="N17" s="13" t="n">
        <x:v>278.94077167689267</x:v>
      </x:c>
      <x:c r="O17" s="13" t="n">
        <x:f>SQRT(H17^2+K17^2+N17^2)</x:f>
        <x:v>450.6039969911988</x:v>
      </x:c>
    </x:row>
    <x:row r="18" ht="26" customHeight="1">
      <x:c r="A18" s="21" t="str">
        <x:v>WMLE</x:v>
      </x:c>
      <x:c r="B18" s="10" t="n">
        <x:v>15</x:v>
      </x:c>
      <x:c r="C18" s="10" t="n">
        <x:v>1200</x:v>
      </x:c>
      <x:c r="D18" s="10" t="n">
        <x:v>1200</x:v>
      </x:c>
      <x:c r="E18" s="11" t="n">
        <x:f>D18/C18</x:f>
        <x:v>1</x:v>
      </x:c>
      <x:c r="F18" s="12" t="n">
        <x:v>-0.10182746807738345</x:v>
      </x:c>
      <x:c r="G18" s="12" t="n">
        <x:v>0.7466693869491833</x:v>
      </x:c>
      <x:c r="H18" s="12" t="n">
        <x:v>0.7535807897379815</x:v>
      </x:c>
      <x:c r="I18" s="13" t="n">
        <x:v>-91.0530558589761</x:v>
      </x:c>
      <x:c r="J18" s="13" t="n">
        <x:v>276.23360637551383</x:v>
      </x:c>
      <x:c r="K18" s="13" t="n">
        <x:v>290.85333808034613</x:v>
      </x:c>
      <x:c r="L18" s="13" t="n">
        <x:v>69.30114962764523</x:v>
      </x:c>
      <x:c r="M18" s="13" t="n">
        <x:v>215.06760363462146</x:v>
      </x:c>
      <x:c r="N18" s="13" t="n">
        <x:v>225.9573487914299</x:v>
      </x:c>
      <x:c r="O18" s="13" t="n">
        <x:f>SQRT(H18^2+K18^2+N18^2)</x:f>
        <x:v>368.310949646272</x:v>
      </x:c>
    </x:row>
    <x:row r="19" ht="26" customHeight="1">
      <x:c r="A19" s="21" t="str">
        <x:v>WMLE</x:v>
      </x:c>
      <x:c r="B19" s="10" t="n">
        <x:v>20</x:v>
      </x:c>
      <x:c r="C19" s="10" t="n">
        <x:v>1200</x:v>
      </x:c>
      <x:c r="D19" s="10" t="n">
        <x:v>1200</x:v>
      </x:c>
      <x:c r="E19" s="11" t="n">
        <x:f>D19/C19</x:f>
        <x:v>1</x:v>
      </x:c>
      <x:c r="F19" s="12" t="n">
        <x:v>-0.04558500695046948</x:v>
      </x:c>
      <x:c r="G19" s="12" t="n">
        <x:v>0.7047699542984778</x:v>
      </x:c>
      <x:c r="H19" s="12" t="n">
        <x:v>0.7062426504683449</x:v>
      </x:c>
      <x:c r="I19" s="13" t="n">
        <x:v>-52.95949793558794</x:v>
      </x:c>
      <x:c r="J19" s="13" t="n">
        <x:v>249.3654453085943</x:v>
      </x:c>
      <x:c r="K19" s="13" t="n">
        <x:v>254.92711455540203</x:v>
      </x:c>
      <x:c r="L19" s="13" t="n">
        <x:v>35.344756654383524</x:v>
      </x:c>
      <x:c r="M19" s="13" t="n">
        <x:v>199.47071084144437</x:v>
      </x:c>
      <x:c r="N19" s="13" t="n">
        <x:v>202.57792650372522</x:v>
      </x:c>
      <x:c r="O19" s="13" t="n">
        <x:f>SQRT(H19^2+K19^2+N19^2)</x:f>
        <x:v>325.6165671779818</x:v>
      </x:c>
    </x:row>
    <x:row r="20" ht="26" customHeight="1">
      <x:c r="A20" s="32" t="str">
        <x:v>WMLE</x:v>
      </x:c>
      <x:c r="B20" s="23" t="n">
        <x:v>50</x:v>
      </x:c>
      <x:c r="C20" s="23" t="n">
        <x:v>1200</x:v>
      </x:c>
      <x:c r="D20" s="23" t="n">
        <x:v>1200</x:v>
      </x:c>
      <x:c r="E20" s="24" t="n">
        <x:f>D20/C20</x:f>
        <x:v>1</x:v>
      </x:c>
      <x:c r="F20" s="25" t="n">
        <x:v>-0.03473693808884562</x:v>
      </x:c>
      <x:c r="G20" s="25" t="n">
        <x:v>0.39444055377627407</x:v>
      </x:c>
      <x:c r="H20" s="25" t="n">
        <x:v>0.3959671770881042</x:v>
      </x:c>
      <x:c r="I20" s="26" t="n">
        <x:v>-30.041630622313537</x:v>
      </x:c>
      <x:c r="J20" s="26" t="n">
        <x:v>146.5121411936004</x:v>
      </x:c>
      <x:c r="K20" s="26" t="n">
        <x:v>149.56037940437642</x:v>
      </x:c>
      <x:c r="L20" s="26" t="n">
        <x:v>22.089761957843276</x:v>
      </x:c>
      <x:c r="M20" s="26" t="n">
        <x:v>110.87847689873666</x:v>
      </x:c>
      <x:c r="N20" s="26" t="n">
        <x:v>113.0574819405503</x:v>
      </x:c>
      <x:c r="O20" s="26" t="n">
        <x:f>SQRT(H20^2+K20^2+N20^2)</x:f>
        <x:v>187.484554298012</x:v>
      </x:c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 ht="23" customHeight="1">
      <x:c r="A22" s="33" t="str">
        <x:v>Bias = mean(估计−真值)；SD 使用 ddof = 0；RMSE 使用全部有效估计，未按显示范围截尾。</x:v>
      </x:c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</x:row>
    <x:row r="23" ht="23" customHeight="1">
      <x:c r="A23" s="33" t="str">
        <x:v>联合 RMSE = √(β RMSE² + η RMSE² + γ RMSE²)，保留原始参数单位，数值主要由 η 与 γ 主导。</x:v>
      </x:c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</x:row>
    <x:row r="24" ht="23" customHeight="1">
      <x:c r="A24" s="33" t="str">
        <x:v>MLE 是上一批原文域有限驻点局部极大解；MMLE 固定 γ 为样本最小值并删除该观测。各方法有效子集不同。</x:v>
      </x:c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</x:row>
    <x:row r="25" ht="23" customHeight="1">
      <x:c r="A25" s="33" t="str">
        <x:v>Kundu–Raqab (2009)，§2，pp.1840–1841： https://home.iitk.ac.in/~kundu/paper154.pdf</x:v>
      </x:c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</x:row>
  </x:sheetData>
  <x:pageMargins left="0.7" right="0.7" top="0.75" bottom="0.75" header="0.3" footer="0.3"/>
  <x:tableParts count="1">
    <x:tablePart xmlns:r="http://schemas.openxmlformats.org/officeDocument/2006/relationships" r:id="Rfd5639f3f8734879"/>
  </x:tableParts>
</x:worksheet>
</file>